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692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akarc\Desktop\"/>
    </mc:Choice>
  </mc:AlternateContent>
  <xr:revisionPtr revIDLastSave="0" documentId="13_ncr:9_{0299B4F8-CF07-42AF-AC15-80EA69AA99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M7" i="1" l="1"/>
  <c r="M9" i="1"/>
  <c r="M11" i="1"/>
  <c r="M13" i="1"/>
  <c r="M15" i="1"/>
  <c r="M17" i="1"/>
  <c r="M19" i="1"/>
  <c r="M21" i="1"/>
  <c r="M23" i="1"/>
  <c r="M25" i="1"/>
  <c r="M27" i="1"/>
  <c r="M29" i="1"/>
  <c r="M31" i="1"/>
  <c r="M33" i="1"/>
  <c r="M35" i="1"/>
  <c r="M37" i="1"/>
  <c r="M39" i="1"/>
  <c r="M41" i="1"/>
  <c r="M5" i="1"/>
</calcChain>
</file>

<file path=xl/sharedStrings.xml><?xml version="1.0" encoding="utf-8"?>
<sst xmlns="http://purl.oclc.org/ooxml/spreadsheetml/main" count="127" uniqueCount="117">
  <si>
    <t>Unique reference</t>
  </si>
  <si>
    <t xml:space="preserve">Function </t>
  </si>
  <si>
    <t>Operational Mode</t>
  </si>
  <si>
    <t>Failure Mode</t>
  </si>
  <si>
    <t>Effects</t>
  </si>
  <si>
    <t>S</t>
  </si>
  <si>
    <t>Failure cause(s)</t>
  </si>
  <si>
    <t>O</t>
  </si>
  <si>
    <t>Detection system</t>
  </si>
  <si>
    <t>D</t>
  </si>
  <si>
    <t>RPN(=SxDxO)</t>
  </si>
  <si>
    <t xml:space="preserve">N.1 </t>
  </si>
  <si>
    <t>Moisture Wicking</t>
  </si>
  <si>
    <t>Regular running, intense exercise</t>
  </si>
  <si>
    <t xml:space="preserve">Insufficient wicking capacity </t>
  </si>
  <si>
    <t>Inability to keep the wearer dry, discomfort during physical activity</t>
  </si>
  <si>
    <t xml:space="preserve">Fabric pilling </t>
  </si>
  <si>
    <t>N.2</t>
  </si>
  <si>
    <t>Temperature Regulation</t>
  </si>
  <si>
    <t>Insufficient breathability</t>
  </si>
  <si>
    <t>Reduced air circulation, potential discomfort, overheating</t>
  </si>
  <si>
    <t xml:space="preserve">Limited ventilation </t>
  </si>
  <si>
    <t>Reduced air exchange, potential overheating</t>
  </si>
  <si>
    <t>Overheating</t>
  </si>
  <si>
    <t>Discomfort, increased risk of heat-related issues</t>
  </si>
  <si>
    <t>N.3</t>
  </si>
  <si>
    <t>Comfortable Fit</t>
  </si>
  <si>
    <t>Regular running, intense exercise, everyday wear</t>
  </si>
  <si>
    <t>Size labelling inaccurancy</t>
  </si>
  <si>
    <t>Discomfort, restricted movement</t>
  </si>
  <si>
    <t>Uncomfortable neckline</t>
  </si>
  <si>
    <t>Discomfort around the neck</t>
  </si>
  <si>
    <t>N.4</t>
  </si>
  <si>
    <t>Durability</t>
  </si>
  <si>
    <t>Washing and Maintenance</t>
  </si>
  <si>
    <t>Fabric fraying</t>
  </si>
  <si>
    <t>Reduced structural integrity, potential discomfort, compromised aesthetics</t>
  </si>
  <si>
    <t>Seam failure</t>
  </si>
  <si>
    <t>Loss of garment structure, reduced functionality</t>
  </si>
  <si>
    <t>Color fading</t>
  </si>
  <si>
    <t xml:space="preserve"> Aesthetic degradation</t>
  </si>
  <si>
    <t>N.5</t>
  </si>
  <si>
    <t>Visibility Enhancement</t>
  </si>
  <si>
    <t>Light running</t>
  </si>
  <si>
    <t>Reflective material peeling</t>
  </si>
  <si>
    <t>Reduced visibility in low lights conditions, compromised safety</t>
  </si>
  <si>
    <t>Reduced visibility from certain angles, compromised safety</t>
  </si>
  <si>
    <t>Fabric deterioration affecting reflectivity</t>
  </si>
  <si>
    <t>Diminished reflectivity overtime, compromised safety</t>
  </si>
  <si>
    <t>N.6</t>
  </si>
  <si>
    <t>Ventilation</t>
  </si>
  <si>
    <t>Intense exercise</t>
  </si>
  <si>
    <t>Inadequate ventilation design</t>
  </si>
  <si>
    <t>Reduced overall airflow, potential overheating</t>
  </si>
  <si>
    <t>Deterioration of ventilation material</t>
  </si>
  <si>
    <t>Ineffective moisture wicking</t>
  </si>
  <si>
    <t>Reduced evaporation, discomfort, potential overheating</t>
  </si>
  <si>
    <t>N.7</t>
  </si>
  <si>
    <t>Allergen-Free Design</t>
  </si>
  <si>
    <t>Regular running, intense exercise, everyday wear, light running</t>
  </si>
  <si>
    <t>Residual chemicals from manufacturing</t>
  </si>
  <si>
    <t>Skin irritation, allergic reactions, potential health risks</t>
  </si>
  <si>
    <t>Inadequate labelling of allergens</t>
  </si>
  <si>
    <t>Users unaware of potential allergens, increased risk of reactions</t>
  </si>
  <si>
    <t xml:space="preserve">Ineffective quality control for allergens </t>
  </si>
  <si>
    <t>Potential health risks</t>
  </si>
  <si>
    <t>Inadequate size of reflective elements</t>
  </si>
  <si>
    <t>Decreased effectiveness of ventilation overtime</t>
  </si>
  <si>
    <t>Stain test</t>
  </si>
  <si>
    <t xml:space="preserve">Visual inspection </t>
  </si>
  <si>
    <t>Air permeability test</t>
  </si>
  <si>
    <t>Thermal resistance test</t>
  </si>
  <si>
    <t>Thermal sensors</t>
  </si>
  <si>
    <t>Image recognition technology</t>
  </si>
  <si>
    <t>Tensile test</t>
  </si>
  <si>
    <t xml:space="preserve">Spectrophotometer </t>
  </si>
  <si>
    <t>None</t>
  </si>
  <si>
    <t xml:space="preserve">Sensor placement </t>
  </si>
  <si>
    <t>FTIR</t>
  </si>
  <si>
    <t xml:space="preserve">None </t>
  </si>
  <si>
    <t>Inadequate moisture-wicking treatment application</t>
  </si>
  <si>
    <t>Lower-quality moisture-wicking materials</t>
  </si>
  <si>
    <t xml:space="preserve">Lower-quality materials </t>
  </si>
  <si>
    <t>Construction that's prone to piling</t>
  </si>
  <si>
    <t>Inadequate breathability due to the fabric's inability to manage moisture effectively</t>
  </si>
  <si>
    <t>Low air permeability</t>
  </si>
  <si>
    <t>Lower breathability</t>
  </si>
  <si>
    <t>Airflow resistance in the fabric</t>
  </si>
  <si>
    <t>Limited ventilation</t>
  </si>
  <si>
    <t>Inadequate heat resistance in the fabric</t>
  </si>
  <si>
    <t>Inconsistencies</t>
  </si>
  <si>
    <t>Manufacturing errors</t>
  </si>
  <si>
    <t>Material stiffness around the neck area</t>
  </si>
  <si>
    <t>Design flaws</t>
  </si>
  <si>
    <t>Inadequate fabric construction</t>
  </si>
  <si>
    <t>Lower-quality materials</t>
  </si>
  <si>
    <t>Poor stitching techniques</t>
  </si>
  <si>
    <t>Low-quality thread</t>
  </si>
  <si>
    <t>Insufficient colorfastness in the fabric</t>
  </si>
  <si>
    <t>Use of lower-quality dyes</t>
  </si>
  <si>
    <t>Use of low-quality reflective material</t>
  </si>
  <si>
    <t>Inadequate bonding/adhesion during manufacturing</t>
  </si>
  <si>
    <t>Insufficient material allocation for effective visibility enhancement</t>
  </si>
  <si>
    <t>Use of materials prone to degradation</t>
  </si>
  <si>
    <t>Inadequate treatment for maintaining reflectivity</t>
  </si>
  <si>
    <t>Low breathability</t>
  </si>
  <si>
    <t>Loss of breathability properties over time</t>
  </si>
  <si>
    <t>Material breakdown</t>
  </si>
  <si>
    <t>Decreased functionality of the moisture-wicking treatment</t>
  </si>
  <si>
    <t>Lower moisture-wicking material properties</t>
  </si>
  <si>
    <t>Inadequate rinsing processes</t>
  </si>
  <si>
    <t>The use of non-hypoallergenic materials during production</t>
  </si>
  <si>
    <t>Insufficient information provided to users</t>
  </si>
  <si>
    <t>Oversight in the labeling process</t>
  </si>
  <si>
    <t>Oversight in ensuring the absence of allergens in materials used</t>
  </si>
  <si>
    <t>Inadequate testing protocols</t>
  </si>
  <si>
    <t xml:space="preserve">Reduced effectiveness in moisture wicking, aesthetics affected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</si>
</sst>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62"/>
    </font>
    <font>
      <sz val="10"/>
      <color rgb="FF000000"/>
      <name val="Arial"/>
      <family val="2"/>
      <charset val="162"/>
    </font>
    <font>
      <b/>
      <sz val="10"/>
      <color rgb="FF000000"/>
      <name val="Arial"/>
      <family val="2"/>
      <charset val="162"/>
    </font>
    <font>
      <b/>
      <sz val="11"/>
      <color rgb="FF000000"/>
      <name val="Calibr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start/>
      <end/>
      <top/>
      <bottom/>
      <diagonal/>
    </border>
    <border>
      <start style="medium">
        <color rgb="FF000000"/>
      </start>
      <end style="thin">
        <color rgb="FF000000"/>
      </end>
      <top style="medium">
        <color rgb="FF000000"/>
      </top>
      <bottom style="medium">
        <color rgb="FF000000"/>
      </bottom>
      <diagonal/>
    </border>
    <border>
      <start style="thin">
        <color rgb="FF000000"/>
      </start>
      <end style="thin">
        <color rgb="FF000000"/>
      </end>
      <top style="medium">
        <color rgb="FF000000"/>
      </top>
      <bottom style="medium">
        <color rgb="FF000000"/>
      </bottom>
      <diagonal/>
    </border>
    <border>
      <start style="medium">
        <color rgb="FF000000"/>
      </start>
      <end style="thin">
        <color rgb="FF000000"/>
      </end>
      <top style="medium">
        <color rgb="FF000000"/>
      </top>
      <bottom style="thin">
        <color rgb="FF000000"/>
      </bottom>
      <diagonal/>
    </border>
    <border>
      <start style="thin">
        <color rgb="FF000000"/>
      </start>
      <end style="thin">
        <color rgb="FF000000"/>
      </end>
      <top/>
      <bottom style="thin">
        <color rgb="FF000000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medium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medium">
        <color rgb="FF000000"/>
      </start>
      <end style="thin">
        <color rgb="FF000000"/>
      </end>
      <top style="thin">
        <color rgb="FF000000"/>
      </top>
      <bottom style="medium">
        <color rgb="FF000000"/>
      </bottom>
      <diagonal/>
    </border>
    <border>
      <start style="thin">
        <color rgb="FF000000"/>
      </start>
      <end style="thin">
        <color rgb="FF000000"/>
      </end>
      <top style="medium">
        <color rgb="FF000000"/>
      </top>
      <bottom/>
      <diagonal/>
    </border>
    <border>
      <start/>
      <end/>
      <top style="medium">
        <color rgb="FF000000"/>
      </top>
      <bottom/>
      <diagonal/>
    </border>
    <border>
      <start/>
      <end style="medium">
        <color rgb="FF000000"/>
      </end>
      <top style="medium">
        <color rgb="FF000000"/>
      </top>
      <bottom/>
      <diagonal/>
    </border>
    <border>
      <start style="medium">
        <color rgb="FF000000"/>
      </start>
      <end style="thin">
        <color rgb="FF000000"/>
      </end>
      <top style="medium">
        <color rgb="FF000000"/>
      </top>
      <bottom/>
      <diagonal/>
    </border>
    <border>
      <start style="thin">
        <color rgb="FF000000"/>
      </start>
      <end style="thin">
        <color rgb="FF000000"/>
      </end>
      <top/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/>
      <diagonal/>
    </border>
    <border>
      <start style="medium">
        <color rgb="FF000000"/>
      </start>
      <end style="thin">
        <color rgb="FF000000"/>
      </end>
      <top/>
      <bottom style="thin">
        <color rgb="FF000000"/>
      </bottom>
      <diagonal/>
    </border>
    <border>
      <start style="thin">
        <color rgb="FF000000"/>
      </start>
      <end style="thin">
        <color rgb="FF000000"/>
      </end>
      <top/>
      <bottom style="medium">
        <color rgb="FF000000"/>
      </bottom>
      <diagonal/>
    </border>
    <border>
      <start style="medium">
        <color rgb="FF000000"/>
      </start>
      <end style="thin">
        <color rgb="FF000000"/>
      </end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Border="0" applyProtection="0"/>
  </cellStyleXfs>
  <cellXfs count="4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2" fillId="0" borderId="1" xfId="1" applyFont="1" applyBorder="1" applyProtection="1"/>
    <xf numFmtId="0" fontId="2" fillId="0" borderId="2" xfId="1" applyFont="1" applyBorder="1" applyProtection="1"/>
    <xf numFmtId="0" fontId="2" fillId="0" borderId="2" xfId="1" applyFont="1" applyBorder="1" applyAlignment="1" applyProtection="1">
      <alignment wrapText="1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top"/>
    </xf>
    <xf numFmtId="0" fontId="0" fillId="0" borderId="5" xfId="0" applyBorder="1" applyAlignment="1">
      <alignment vertical="top"/>
    </xf>
    <xf numFmtId="0" fontId="0" fillId="0" borderId="5" xfId="0" applyBorder="1" applyAlignment="1">
      <alignment vertical="top" wrapText="1"/>
    </xf>
    <xf numFmtId="0" fontId="0" fillId="2" borderId="5" xfId="0" applyFill="1" applyBorder="1" applyAlignment="1">
      <alignment vertical="top"/>
    </xf>
    <xf numFmtId="0" fontId="1" fillId="0" borderId="6" xfId="1" applyBorder="1" applyAlignment="1" applyProtection="1">
      <alignment horizontal="center" vertical="center"/>
    </xf>
    <xf numFmtId="0" fontId="2" fillId="0" borderId="11" xfId="1" applyFont="1" applyBorder="1" applyProtection="1"/>
    <xf numFmtId="0" fontId="3" fillId="0" borderId="5" xfId="0" applyFont="1" applyBorder="1"/>
    <xf numFmtId="0" fontId="1" fillId="0" borderId="14" xfId="1" applyBorder="1" applyAlignment="1" applyProtection="1">
      <alignment horizontal="center" vertical="center"/>
    </xf>
    <xf numFmtId="0" fontId="0" fillId="3" borderId="5" xfId="0" applyFill="1" applyBorder="1" applyAlignment="1">
      <alignment vertical="top"/>
    </xf>
    <xf numFmtId="0" fontId="1" fillId="0" borderId="16" xfId="1" applyBorder="1" applyAlignment="1" applyProtection="1">
      <alignment horizontal="center" vertical="center"/>
    </xf>
    <xf numFmtId="0" fontId="1" fillId="0" borderId="13" xfId="1" applyBorder="1" applyAlignment="1" applyProtection="1">
      <alignment horizontal="left" vertical="top" wrapText="1"/>
    </xf>
    <xf numFmtId="0" fontId="1" fillId="0" borderId="15" xfId="1" applyBorder="1" applyAlignment="1" applyProtection="1">
      <alignment horizontal="left" vertical="top" wrapText="1"/>
    </xf>
    <xf numFmtId="0" fontId="1" fillId="0" borderId="13" xfId="1" applyBorder="1" applyAlignment="1" applyProtection="1">
      <alignment horizontal="center" vertical="center"/>
    </xf>
    <xf numFmtId="0" fontId="1" fillId="0" borderId="15" xfId="1" applyBorder="1" applyAlignment="1" applyProtection="1">
      <alignment horizontal="center" vertical="center"/>
    </xf>
    <xf numFmtId="0" fontId="1" fillId="0" borderId="4" xfId="1" applyBorder="1" applyAlignment="1" applyProtection="1">
      <alignment horizontal="left" vertical="top" wrapText="1"/>
    </xf>
    <xf numFmtId="0" fontId="1" fillId="0" borderId="13" xfId="1" applyBorder="1" applyAlignment="1" applyProtection="1">
      <alignment vertical="top" wrapText="1"/>
    </xf>
    <xf numFmtId="0" fontId="1" fillId="0" borderId="4" xfId="1" applyBorder="1" applyAlignment="1" applyProtection="1">
      <alignment vertical="top" wrapText="1"/>
    </xf>
    <xf numFmtId="0" fontId="1" fillId="0" borderId="4" xfId="1" applyBorder="1" applyAlignment="1" applyProtection="1">
      <alignment horizontal="center" vertical="center"/>
    </xf>
    <xf numFmtId="0" fontId="1" fillId="0" borderId="6" xfId="1" applyBorder="1" applyAlignment="1" applyProtection="1">
      <alignment horizontal="center" vertical="center"/>
    </xf>
    <xf numFmtId="0" fontId="1" fillId="0" borderId="7" xfId="1" applyBorder="1" applyAlignment="1" applyProtection="1">
      <alignment horizontal="center" vertical="center"/>
    </xf>
    <xf numFmtId="0" fontId="1" fillId="0" borderId="12" xfId="1" applyBorder="1" applyAlignment="1" applyProtection="1">
      <alignment horizontal="center" vertical="center"/>
    </xf>
    <xf numFmtId="0" fontId="1" fillId="0" borderId="13" xfId="1" applyBorder="1" applyAlignment="1" applyProtection="1">
      <alignment horizontal="center" vertical="center" wrapText="1"/>
    </xf>
    <xf numFmtId="0" fontId="1" fillId="0" borderId="12" xfId="1" applyBorder="1" applyAlignment="1" applyProtection="1">
      <alignment horizontal="center" vertical="center" wrapText="1"/>
    </xf>
    <xf numFmtId="0" fontId="1" fillId="0" borderId="4" xfId="1" applyBorder="1" applyAlignment="1" applyProtection="1">
      <alignment horizontal="center" vertical="center" wrapText="1"/>
    </xf>
    <xf numFmtId="0" fontId="1" fillId="0" borderId="15" xfId="1" applyBorder="1" applyAlignment="1" applyProtection="1">
      <alignment horizontal="center" vertical="center" wrapText="1"/>
    </xf>
    <xf numFmtId="0" fontId="1" fillId="0" borderId="3" xfId="1" applyBorder="1" applyAlignment="1" applyProtection="1">
      <alignment horizontal="center" vertical="center"/>
    </xf>
    <xf numFmtId="0" fontId="1" fillId="0" borderId="8" xfId="1" applyBorder="1" applyAlignment="1" applyProtection="1">
      <alignment horizontal="center" vertical="center"/>
    </xf>
    <xf numFmtId="0" fontId="1" fillId="0" borderId="8" xfId="1" applyBorder="1" applyAlignment="1" applyProtection="1">
      <alignment horizontal="center" vertical="center" wrapText="1"/>
    </xf>
    <xf numFmtId="0" fontId="1" fillId="0" borderId="8" xfId="1" applyBorder="1" applyAlignment="1" applyProtection="1">
      <alignment horizontal="left" vertical="top" wrapText="1"/>
    </xf>
    <xf numFmtId="0" fontId="1" fillId="2" borderId="8" xfId="1" applyFill="1" applyBorder="1" applyAlignment="1" applyProtection="1">
      <alignment horizontal="center" vertical="center"/>
    </xf>
    <xf numFmtId="0" fontId="1" fillId="2" borderId="4" xfId="1" applyFill="1" applyBorder="1" applyAlignment="1" applyProtection="1">
      <alignment horizontal="center" vertical="center"/>
    </xf>
    <xf numFmtId="0" fontId="1" fillId="2" borderId="13" xfId="1" applyFill="1" applyBorder="1" applyAlignment="1" applyProtection="1">
      <alignment horizontal="center" vertical="center"/>
    </xf>
    <xf numFmtId="0" fontId="0" fillId="0" borderId="5" xfId="0" applyFont="1" applyBorder="1" applyAlignment="1">
      <alignment horizontal="center" vertical="center"/>
    </xf>
  </cellXfs>
  <cellStyles count="2">
    <cellStyle name="Normal" xfId="0" builtinId="0" customBuiltin="1"/>
    <cellStyle name="Normale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M41"/>
  <sheetViews>
    <sheetView tabSelected="1" topLeftCell="D36" zoomScale="111" workbookViewId="0">
      <selection activeCell="J42" sqref="J42"/>
    </sheetView>
  </sheetViews>
  <sheetFormatPr defaultColWidth="8.77734375" defaultRowHeight="14.4" x14ac:dyDescent="0.3"/>
  <cols>
    <col min="1" max="2" width="8.77734375" customWidth="1"/>
    <col min="3" max="3" width="15.77734375" bestFit="1" customWidth="1"/>
    <col min="4" max="4" width="22.44140625" style="1" customWidth="1"/>
    <col min="5" max="5" width="12.109375" style="2" customWidth="1"/>
    <col min="6" max="6" width="18.77734375" customWidth="1"/>
    <col min="7" max="7" width="24.6640625" customWidth="1"/>
    <col min="8" max="8" width="8.77734375" customWidth="1"/>
    <col min="9" max="9" width="14.109375" bestFit="1" customWidth="1"/>
    <col min="10" max="10" width="8.77734375" customWidth="1"/>
    <col min="11" max="11" width="22.33203125" customWidth="1"/>
    <col min="12" max="12" width="8.77734375" customWidth="1"/>
    <col min="13" max="13" width="12.109375" bestFit="1" customWidth="1"/>
    <col min="14" max="14" width="8.77734375" customWidth="1"/>
    <col min="16" max="16" width="16.77734375" bestFit="1" customWidth="1"/>
  </cols>
  <sheetData>
    <row r="2" spans="3:13" ht="15" thickBot="1" x14ac:dyDescent="0.35"/>
    <row r="3" spans="3:13" ht="27.6" thickBot="1" x14ac:dyDescent="0.35">
      <c r="C3" s="3" t="s">
        <v>0</v>
      </c>
      <c r="D3" s="4" t="s">
        <v>1</v>
      </c>
      <c r="E3" s="5" t="s">
        <v>2</v>
      </c>
      <c r="F3" s="4" t="s">
        <v>3</v>
      </c>
      <c r="G3" s="4" t="s">
        <v>4</v>
      </c>
      <c r="H3" s="4" t="s">
        <v>5</v>
      </c>
      <c r="I3" s="6" t="s">
        <v>6</v>
      </c>
      <c r="J3" s="7" t="s">
        <v>7</v>
      </c>
      <c r="K3" s="7" t="s">
        <v>8</v>
      </c>
      <c r="L3" s="7" t="s">
        <v>9</v>
      </c>
      <c r="M3" s="8" t="s">
        <v>10</v>
      </c>
    </row>
    <row r="4" spans="3:13" ht="75" customHeight="1" thickBot="1" x14ac:dyDescent="0.35">
      <c r="C4" s="16"/>
      <c r="D4" s="37" t="s">
        <v>12</v>
      </c>
      <c r="E4" s="38" t="s">
        <v>13</v>
      </c>
      <c r="F4" s="39" t="s">
        <v>14</v>
      </c>
      <c r="G4" s="39" t="s">
        <v>15</v>
      </c>
      <c r="H4" s="40">
        <v>8</v>
      </c>
      <c r="I4" s="9" t="s">
        <v>80</v>
      </c>
      <c r="J4" s="43">
        <v>6</v>
      </c>
      <c r="K4" s="11"/>
      <c r="L4" s="17"/>
      <c r="M4" s="17"/>
    </row>
    <row r="5" spans="3:13" ht="58.2" thickBot="1" x14ac:dyDescent="0.35">
      <c r="C5" s="36" t="s">
        <v>11</v>
      </c>
      <c r="D5" s="31"/>
      <c r="E5" s="33"/>
      <c r="F5" s="25"/>
      <c r="G5" s="25"/>
      <c r="H5" s="41"/>
      <c r="I5" s="9" t="s">
        <v>81</v>
      </c>
      <c r="J5" s="10">
        <v>4</v>
      </c>
      <c r="K5" s="11" t="s">
        <v>68</v>
      </c>
      <c r="L5" s="12">
        <v>3</v>
      </c>
      <c r="M5" s="12">
        <f>H4*J5*L5</f>
        <v>96</v>
      </c>
    </row>
    <row r="6" spans="3:13" ht="29.4" thickBot="1" x14ac:dyDescent="0.35">
      <c r="C6" s="36"/>
      <c r="D6" s="31"/>
      <c r="E6" s="33"/>
      <c r="F6" s="21" t="s">
        <v>16</v>
      </c>
      <c r="G6" s="21" t="s">
        <v>116</v>
      </c>
      <c r="H6" s="23">
        <v>8</v>
      </c>
      <c r="I6" s="9" t="s">
        <v>82</v>
      </c>
      <c r="J6" s="10">
        <v>6</v>
      </c>
      <c r="K6" s="12"/>
      <c r="L6" s="12"/>
      <c r="M6" s="12"/>
    </row>
    <row r="7" spans="3:13" ht="43.2" x14ac:dyDescent="0.3">
      <c r="C7" s="36"/>
      <c r="D7" s="28"/>
      <c r="E7" s="34"/>
      <c r="F7" s="25"/>
      <c r="G7" s="25"/>
      <c r="H7" s="28"/>
      <c r="I7" s="9" t="s">
        <v>83</v>
      </c>
      <c r="J7" s="10">
        <v>5</v>
      </c>
      <c r="K7" s="12" t="s">
        <v>69</v>
      </c>
      <c r="L7" s="12">
        <v>5</v>
      </c>
      <c r="M7" s="12">
        <f>H6*J7*L7</f>
        <v>200</v>
      </c>
    </row>
    <row r="8" spans="3:13" ht="100.8" x14ac:dyDescent="0.3">
      <c r="C8" s="18"/>
      <c r="D8" s="23" t="s">
        <v>18</v>
      </c>
      <c r="E8" s="32" t="s">
        <v>13</v>
      </c>
      <c r="F8" s="21" t="s">
        <v>19</v>
      </c>
      <c r="G8" s="21" t="s">
        <v>20</v>
      </c>
      <c r="H8" s="42">
        <v>9</v>
      </c>
      <c r="I8" s="9" t="s">
        <v>84</v>
      </c>
      <c r="J8" s="10">
        <v>6</v>
      </c>
      <c r="K8" s="12"/>
      <c r="L8" s="12"/>
      <c r="M8" s="12"/>
    </row>
    <row r="9" spans="3:13" ht="28.8" x14ac:dyDescent="0.3">
      <c r="C9" s="29" t="s">
        <v>17</v>
      </c>
      <c r="D9" s="31"/>
      <c r="E9" s="33"/>
      <c r="F9" s="25"/>
      <c r="G9" s="25"/>
      <c r="H9" s="41"/>
      <c r="I9" s="9" t="s">
        <v>85</v>
      </c>
      <c r="J9" s="10">
        <v>7</v>
      </c>
      <c r="K9" s="12" t="s">
        <v>71</v>
      </c>
      <c r="L9" s="12">
        <v>3</v>
      </c>
      <c r="M9" s="12">
        <f>H8*J9*L9</f>
        <v>189</v>
      </c>
    </row>
    <row r="10" spans="3:13" ht="28.8" x14ac:dyDescent="0.3">
      <c r="C10" s="29"/>
      <c r="D10" s="31"/>
      <c r="E10" s="33"/>
      <c r="F10" s="21" t="s">
        <v>21</v>
      </c>
      <c r="G10" s="21" t="s">
        <v>22</v>
      </c>
      <c r="H10" s="42">
        <v>8</v>
      </c>
      <c r="I10" s="9" t="s">
        <v>86</v>
      </c>
      <c r="J10" s="10">
        <v>4</v>
      </c>
      <c r="K10" s="12"/>
      <c r="L10" s="12"/>
      <c r="M10" s="12"/>
    </row>
    <row r="11" spans="3:13" ht="43.2" x14ac:dyDescent="0.3">
      <c r="C11" s="29"/>
      <c r="D11" s="31"/>
      <c r="E11" s="33"/>
      <c r="F11" s="25"/>
      <c r="G11" s="25"/>
      <c r="H11" s="41"/>
      <c r="I11" s="9" t="s">
        <v>87</v>
      </c>
      <c r="J11" s="10">
        <v>6</v>
      </c>
      <c r="K11" s="12" t="s">
        <v>70</v>
      </c>
      <c r="L11" s="12">
        <v>3</v>
      </c>
      <c r="M11" s="12">
        <f>H10*J11*L11</f>
        <v>144</v>
      </c>
    </row>
    <row r="12" spans="3:13" ht="28.8" x14ac:dyDescent="0.3">
      <c r="C12" s="29"/>
      <c r="D12" s="31"/>
      <c r="E12" s="33"/>
      <c r="F12" s="21" t="s">
        <v>23</v>
      </c>
      <c r="G12" s="21" t="s">
        <v>24</v>
      </c>
      <c r="H12" s="23">
        <v>8</v>
      </c>
      <c r="I12" s="9" t="s">
        <v>88</v>
      </c>
      <c r="J12" s="10">
        <v>7</v>
      </c>
      <c r="K12" s="12"/>
      <c r="L12" s="12"/>
      <c r="M12" s="12"/>
    </row>
    <row r="13" spans="3:13" ht="73.2" customHeight="1" x14ac:dyDescent="0.3">
      <c r="C13" s="29"/>
      <c r="D13" s="28"/>
      <c r="E13" s="34"/>
      <c r="F13" s="25"/>
      <c r="G13" s="25"/>
      <c r="H13" s="28"/>
      <c r="I13" s="9" t="s">
        <v>89</v>
      </c>
      <c r="J13" s="10">
        <v>6</v>
      </c>
      <c r="K13" s="12" t="s">
        <v>72</v>
      </c>
      <c r="L13" s="12">
        <v>5</v>
      </c>
      <c r="M13" s="12">
        <f>H12*J13*L13</f>
        <v>240</v>
      </c>
    </row>
    <row r="14" spans="3:13" ht="42.6" customHeight="1" x14ac:dyDescent="0.3">
      <c r="C14" s="15"/>
      <c r="D14" s="23" t="s">
        <v>26</v>
      </c>
      <c r="E14" s="32" t="s">
        <v>27</v>
      </c>
      <c r="F14" s="21" t="s">
        <v>28</v>
      </c>
      <c r="G14" s="21" t="s">
        <v>29</v>
      </c>
      <c r="H14" s="42">
        <v>5</v>
      </c>
      <c r="I14" s="9" t="s">
        <v>91</v>
      </c>
      <c r="J14" s="10">
        <v>5</v>
      </c>
      <c r="K14" s="13"/>
      <c r="L14" s="12"/>
      <c r="M14" s="12"/>
    </row>
    <row r="15" spans="3:13" ht="43.2" customHeight="1" x14ac:dyDescent="0.3">
      <c r="C15" s="29" t="s">
        <v>25</v>
      </c>
      <c r="D15" s="31"/>
      <c r="E15" s="33"/>
      <c r="F15" s="25"/>
      <c r="G15" s="25"/>
      <c r="H15" s="41"/>
      <c r="I15" s="9" t="s">
        <v>90</v>
      </c>
      <c r="J15" s="10">
        <v>4</v>
      </c>
      <c r="K15" s="13" t="s">
        <v>73</v>
      </c>
      <c r="L15" s="12">
        <v>1</v>
      </c>
      <c r="M15" s="12">
        <f>H14*J15*L15</f>
        <v>20</v>
      </c>
    </row>
    <row r="16" spans="3:13" ht="43.2" customHeight="1" x14ac:dyDescent="0.3">
      <c r="C16" s="29"/>
      <c r="D16" s="31"/>
      <c r="E16" s="33"/>
      <c r="F16" s="21" t="s">
        <v>30</v>
      </c>
      <c r="G16" s="21" t="s">
        <v>31</v>
      </c>
      <c r="H16" s="42">
        <v>4</v>
      </c>
      <c r="I16" s="9" t="s">
        <v>93</v>
      </c>
      <c r="J16" s="10">
        <v>3</v>
      </c>
      <c r="K16" s="13"/>
      <c r="L16" s="12"/>
      <c r="M16" s="12"/>
    </row>
    <row r="17" spans="3:13" ht="58.8" customHeight="1" x14ac:dyDescent="0.3">
      <c r="C17" s="29"/>
      <c r="D17" s="28"/>
      <c r="E17" s="34"/>
      <c r="F17" s="25"/>
      <c r="G17" s="25"/>
      <c r="H17" s="41"/>
      <c r="I17" s="9" t="s">
        <v>92</v>
      </c>
      <c r="J17" s="10">
        <v>4</v>
      </c>
      <c r="K17" s="13" t="s">
        <v>73</v>
      </c>
      <c r="L17" s="12">
        <v>1</v>
      </c>
      <c r="M17" s="12">
        <f>H16*J17*L17</f>
        <v>16</v>
      </c>
    </row>
    <row r="18" spans="3:13" ht="37.799999999999997" customHeight="1" x14ac:dyDescent="0.3">
      <c r="C18" s="15"/>
      <c r="D18" s="23" t="s">
        <v>33</v>
      </c>
      <c r="E18" s="32" t="s">
        <v>34</v>
      </c>
      <c r="F18" s="21" t="s">
        <v>35</v>
      </c>
      <c r="G18" s="21" t="s">
        <v>36</v>
      </c>
      <c r="H18" s="23">
        <v>8</v>
      </c>
      <c r="I18" s="9" t="s">
        <v>95</v>
      </c>
      <c r="J18" s="10">
        <v>7</v>
      </c>
      <c r="K18" s="12"/>
      <c r="L18" s="12"/>
      <c r="M18" s="12"/>
    </row>
    <row r="19" spans="3:13" ht="43.2" x14ac:dyDescent="0.3">
      <c r="C19" s="29" t="s">
        <v>32</v>
      </c>
      <c r="D19" s="31"/>
      <c r="E19" s="33"/>
      <c r="F19" s="25"/>
      <c r="G19" s="25"/>
      <c r="H19" s="28"/>
      <c r="I19" s="9" t="s">
        <v>94</v>
      </c>
      <c r="J19" s="10">
        <v>6</v>
      </c>
      <c r="K19" s="12" t="s">
        <v>69</v>
      </c>
      <c r="L19" s="12">
        <v>6</v>
      </c>
      <c r="M19" s="12">
        <f>H18*J19*L19</f>
        <v>288</v>
      </c>
    </row>
    <row r="20" spans="3:13" ht="28.8" x14ac:dyDescent="0.3">
      <c r="C20" s="29"/>
      <c r="D20" s="31"/>
      <c r="E20" s="33"/>
      <c r="F20" s="21" t="s">
        <v>37</v>
      </c>
      <c r="G20" s="21" t="s">
        <v>38</v>
      </c>
      <c r="H20" s="23">
        <v>9</v>
      </c>
      <c r="I20" s="9" t="s">
        <v>96</v>
      </c>
      <c r="J20" s="10">
        <v>8</v>
      </c>
      <c r="K20" s="12"/>
      <c r="L20" s="12"/>
      <c r="M20" s="12"/>
    </row>
    <row r="21" spans="3:13" ht="28.8" x14ac:dyDescent="0.3">
      <c r="C21" s="29"/>
      <c r="D21" s="31"/>
      <c r="E21" s="33"/>
      <c r="F21" s="25"/>
      <c r="G21" s="25"/>
      <c r="H21" s="28"/>
      <c r="I21" s="9" t="s">
        <v>97</v>
      </c>
      <c r="J21" s="10">
        <v>7</v>
      </c>
      <c r="K21" s="12" t="s">
        <v>74</v>
      </c>
      <c r="L21" s="12">
        <v>3</v>
      </c>
      <c r="M21" s="12">
        <f>H20*J21*L21</f>
        <v>189</v>
      </c>
    </row>
    <row r="22" spans="3:13" ht="28.8" x14ac:dyDescent="0.3">
      <c r="C22" s="29"/>
      <c r="D22" s="31"/>
      <c r="E22" s="33"/>
      <c r="F22" s="21" t="s">
        <v>39</v>
      </c>
      <c r="G22" s="21" t="s">
        <v>40</v>
      </c>
      <c r="H22" s="42">
        <v>2</v>
      </c>
      <c r="I22" s="9" t="s">
        <v>99</v>
      </c>
      <c r="J22" s="10">
        <v>3</v>
      </c>
      <c r="K22" s="12"/>
      <c r="L22" s="12"/>
      <c r="M22" s="12"/>
    </row>
    <row r="23" spans="3:13" ht="43.2" x14ac:dyDescent="0.3">
      <c r="C23" s="29"/>
      <c r="D23" s="28"/>
      <c r="E23" s="34"/>
      <c r="F23" s="25"/>
      <c r="G23" s="25"/>
      <c r="H23" s="41"/>
      <c r="I23" s="9" t="s">
        <v>98</v>
      </c>
      <c r="J23" s="10">
        <v>4</v>
      </c>
      <c r="K23" s="12" t="s">
        <v>75</v>
      </c>
      <c r="L23" s="12">
        <v>4</v>
      </c>
      <c r="M23" s="12">
        <f>H22*J23*L23</f>
        <v>32</v>
      </c>
    </row>
    <row r="24" spans="3:13" ht="57.6" x14ac:dyDescent="0.3">
      <c r="C24" s="15"/>
      <c r="D24" s="23" t="s">
        <v>42</v>
      </c>
      <c r="E24" s="32" t="s">
        <v>43</v>
      </c>
      <c r="F24" s="21" t="s">
        <v>44</v>
      </c>
      <c r="G24" s="21" t="s">
        <v>45</v>
      </c>
      <c r="H24" s="42">
        <v>3</v>
      </c>
      <c r="I24" s="9" t="s">
        <v>100</v>
      </c>
      <c r="J24" s="10">
        <v>3</v>
      </c>
      <c r="K24" s="12"/>
      <c r="L24" s="12"/>
      <c r="M24" s="12"/>
    </row>
    <row r="25" spans="3:13" ht="57.6" x14ac:dyDescent="0.3">
      <c r="C25" s="29" t="s">
        <v>41</v>
      </c>
      <c r="D25" s="31"/>
      <c r="E25" s="33"/>
      <c r="F25" s="25"/>
      <c r="G25" s="25"/>
      <c r="H25" s="41"/>
      <c r="I25" s="9" t="s">
        <v>101</v>
      </c>
      <c r="J25" s="10">
        <v>4</v>
      </c>
      <c r="K25" s="12" t="s">
        <v>69</v>
      </c>
      <c r="L25" s="12">
        <v>6</v>
      </c>
      <c r="M25" s="12">
        <f>H24*J25*L25</f>
        <v>72</v>
      </c>
    </row>
    <row r="26" spans="3:13" x14ac:dyDescent="0.3">
      <c r="C26" s="29"/>
      <c r="D26" s="31"/>
      <c r="E26" s="33"/>
      <c r="F26" s="21" t="s">
        <v>66</v>
      </c>
      <c r="G26" s="21" t="s">
        <v>46</v>
      </c>
      <c r="H26" s="42">
        <v>2</v>
      </c>
      <c r="I26" s="9" t="s">
        <v>93</v>
      </c>
      <c r="J26" s="10">
        <v>3</v>
      </c>
      <c r="K26" s="12"/>
      <c r="L26" s="12"/>
      <c r="M26" s="12"/>
    </row>
    <row r="27" spans="3:13" ht="86.4" x14ac:dyDescent="0.3">
      <c r="C27" s="29"/>
      <c r="D27" s="31"/>
      <c r="E27" s="33"/>
      <c r="F27" s="25"/>
      <c r="G27" s="25"/>
      <c r="H27" s="41"/>
      <c r="I27" s="9" t="s">
        <v>102</v>
      </c>
      <c r="J27" s="10">
        <v>3</v>
      </c>
      <c r="K27" s="12" t="s">
        <v>69</v>
      </c>
      <c r="L27" s="12">
        <v>4</v>
      </c>
      <c r="M27" s="12">
        <f>H26*J27*L27</f>
        <v>24</v>
      </c>
    </row>
    <row r="28" spans="3:13" ht="43.2" x14ac:dyDescent="0.3">
      <c r="C28" s="29"/>
      <c r="D28" s="31"/>
      <c r="E28" s="33"/>
      <c r="F28" s="21" t="s">
        <v>47</v>
      </c>
      <c r="G28" s="21" t="s">
        <v>48</v>
      </c>
      <c r="H28" s="42">
        <v>2</v>
      </c>
      <c r="I28" s="9" t="s">
        <v>103</v>
      </c>
      <c r="J28" s="10">
        <v>3</v>
      </c>
      <c r="K28" s="12"/>
      <c r="L28" s="12"/>
      <c r="M28" s="12"/>
    </row>
    <row r="29" spans="3:13" ht="57.6" x14ac:dyDescent="0.3">
      <c r="C29" s="29"/>
      <c r="D29" s="28"/>
      <c r="E29" s="34"/>
      <c r="F29" s="25"/>
      <c r="G29" s="25"/>
      <c r="H29" s="41"/>
      <c r="I29" s="9" t="s">
        <v>104</v>
      </c>
      <c r="J29" s="10">
        <v>3</v>
      </c>
      <c r="K29" s="12" t="s">
        <v>69</v>
      </c>
      <c r="L29" s="12">
        <v>6</v>
      </c>
      <c r="M29" s="12">
        <f>H28*J29*L29</f>
        <v>36</v>
      </c>
    </row>
    <row r="30" spans="3:13" ht="28.8" x14ac:dyDescent="0.3">
      <c r="C30" s="15"/>
      <c r="D30" s="23" t="s">
        <v>50</v>
      </c>
      <c r="E30" s="32" t="s">
        <v>51</v>
      </c>
      <c r="F30" s="21" t="s">
        <v>52</v>
      </c>
      <c r="G30" s="21" t="s">
        <v>53</v>
      </c>
      <c r="H30" s="23">
        <v>8</v>
      </c>
      <c r="I30" s="9" t="s">
        <v>105</v>
      </c>
      <c r="J30" s="10">
        <v>6</v>
      </c>
      <c r="K30" s="19"/>
      <c r="L30" s="12"/>
      <c r="M30" s="12"/>
    </row>
    <row r="31" spans="3:13" ht="43.2" x14ac:dyDescent="0.3">
      <c r="C31" s="29" t="s">
        <v>49</v>
      </c>
      <c r="D31" s="31"/>
      <c r="E31" s="33"/>
      <c r="F31" s="25"/>
      <c r="G31" s="25"/>
      <c r="H31" s="28"/>
      <c r="I31" s="9" t="s">
        <v>87</v>
      </c>
      <c r="J31" s="10">
        <v>5</v>
      </c>
      <c r="K31" s="14" t="s">
        <v>76</v>
      </c>
      <c r="L31" s="12">
        <v>8</v>
      </c>
      <c r="M31" s="12">
        <f>H30*J31*L31</f>
        <v>320</v>
      </c>
    </row>
    <row r="32" spans="3:13" ht="28.8" x14ac:dyDescent="0.3">
      <c r="C32" s="29"/>
      <c r="D32" s="31"/>
      <c r="E32" s="33"/>
      <c r="F32" s="21" t="s">
        <v>54</v>
      </c>
      <c r="G32" s="21" t="s">
        <v>67</v>
      </c>
      <c r="H32" s="42">
        <v>8</v>
      </c>
      <c r="I32" s="9" t="s">
        <v>107</v>
      </c>
      <c r="J32" s="10">
        <v>7</v>
      </c>
      <c r="K32" s="12"/>
      <c r="L32" s="12"/>
      <c r="M32" s="12"/>
    </row>
    <row r="33" spans="3:13" ht="57.6" x14ac:dyDescent="0.3">
      <c r="C33" s="29"/>
      <c r="D33" s="31"/>
      <c r="E33" s="33"/>
      <c r="F33" s="25"/>
      <c r="G33" s="25"/>
      <c r="H33" s="41"/>
      <c r="I33" s="9" t="s">
        <v>106</v>
      </c>
      <c r="J33" s="10">
        <v>7</v>
      </c>
      <c r="K33" s="12" t="s">
        <v>77</v>
      </c>
      <c r="L33" s="12">
        <v>5</v>
      </c>
      <c r="M33" s="12">
        <f>H32*J33*L33</f>
        <v>280</v>
      </c>
    </row>
    <row r="34" spans="3:13" ht="57.6" x14ac:dyDescent="0.3">
      <c r="C34" s="29"/>
      <c r="D34" s="31"/>
      <c r="E34" s="33"/>
      <c r="F34" s="21" t="s">
        <v>55</v>
      </c>
      <c r="G34" s="21" t="s">
        <v>56</v>
      </c>
      <c r="H34" s="23">
        <v>7</v>
      </c>
      <c r="I34" s="9" t="s">
        <v>109</v>
      </c>
      <c r="J34" s="10">
        <v>6</v>
      </c>
      <c r="K34" s="12"/>
      <c r="L34" s="12"/>
      <c r="M34" s="12"/>
    </row>
    <row r="35" spans="3:13" ht="72" x14ac:dyDescent="0.3">
      <c r="C35" s="29"/>
      <c r="D35" s="28"/>
      <c r="E35" s="34"/>
      <c r="F35" s="25"/>
      <c r="G35" s="25"/>
      <c r="H35" s="28"/>
      <c r="I35" s="9" t="s">
        <v>108</v>
      </c>
      <c r="J35" s="10">
        <v>6</v>
      </c>
      <c r="K35" s="12" t="s">
        <v>68</v>
      </c>
      <c r="L35" s="12">
        <v>3</v>
      </c>
      <c r="M35" s="12">
        <f>H34*J35*L35</f>
        <v>126</v>
      </c>
    </row>
    <row r="36" spans="3:13" ht="54.6" customHeight="1" x14ac:dyDescent="0.3">
      <c r="C36" s="20"/>
      <c r="D36" s="23" t="s">
        <v>58</v>
      </c>
      <c r="E36" s="32" t="s">
        <v>59</v>
      </c>
      <c r="F36" s="21" t="s">
        <v>60</v>
      </c>
      <c r="G36" s="26" t="s">
        <v>61</v>
      </c>
      <c r="H36" s="23">
        <v>8</v>
      </c>
      <c r="I36" s="9" t="s">
        <v>110</v>
      </c>
      <c r="J36" s="10">
        <v>7</v>
      </c>
      <c r="K36" s="12"/>
      <c r="L36" s="12"/>
      <c r="M36" s="12"/>
    </row>
    <row r="37" spans="3:13" ht="58.2" thickBot="1" x14ac:dyDescent="0.35">
      <c r="C37" s="30" t="s">
        <v>57</v>
      </c>
      <c r="D37" s="31"/>
      <c r="E37" s="33"/>
      <c r="F37" s="25"/>
      <c r="G37" s="27"/>
      <c r="H37" s="28"/>
      <c r="I37" s="9" t="s">
        <v>111</v>
      </c>
      <c r="J37" s="10">
        <v>8</v>
      </c>
      <c r="K37" s="12" t="s">
        <v>78</v>
      </c>
      <c r="L37" s="12">
        <v>2</v>
      </c>
      <c r="M37" s="12">
        <f>H36*J37*L37</f>
        <v>128</v>
      </c>
    </row>
    <row r="38" spans="3:13" ht="29.4" thickBot="1" x14ac:dyDescent="0.35">
      <c r="C38" s="30"/>
      <c r="D38" s="31"/>
      <c r="E38" s="33"/>
      <c r="F38" s="21" t="s">
        <v>62</v>
      </c>
      <c r="G38" s="21" t="s">
        <v>63</v>
      </c>
      <c r="H38" s="23">
        <v>7</v>
      </c>
      <c r="I38" s="9" t="s">
        <v>113</v>
      </c>
      <c r="J38" s="10">
        <v>6</v>
      </c>
      <c r="K38" s="19"/>
      <c r="L38" s="12"/>
      <c r="M38" s="12"/>
    </row>
    <row r="39" spans="3:13" ht="58.2" thickBot="1" x14ac:dyDescent="0.35">
      <c r="C39" s="30"/>
      <c r="D39" s="31"/>
      <c r="E39" s="33"/>
      <c r="F39" s="25"/>
      <c r="G39" s="25"/>
      <c r="H39" s="28"/>
      <c r="I39" s="9" t="s">
        <v>112</v>
      </c>
      <c r="J39" s="10">
        <v>6</v>
      </c>
      <c r="K39" s="14" t="s">
        <v>79</v>
      </c>
      <c r="L39" s="12">
        <v>8</v>
      </c>
      <c r="M39" s="12">
        <f>H38*J39*L39</f>
        <v>336</v>
      </c>
    </row>
    <row r="40" spans="3:13" ht="43.8" thickBot="1" x14ac:dyDescent="0.35">
      <c r="C40" s="30"/>
      <c r="D40" s="31"/>
      <c r="E40" s="33"/>
      <c r="F40" s="21" t="s">
        <v>64</v>
      </c>
      <c r="G40" s="21" t="s">
        <v>65</v>
      </c>
      <c r="H40" s="23">
        <v>8</v>
      </c>
      <c r="I40" s="9" t="s">
        <v>115</v>
      </c>
      <c r="J40" s="10">
        <v>7</v>
      </c>
      <c r="K40" s="19"/>
      <c r="L40" s="12"/>
      <c r="M40" s="12"/>
    </row>
    <row r="41" spans="3:13" ht="72.599999999999994" thickBot="1" x14ac:dyDescent="0.35">
      <c r="C41" s="30"/>
      <c r="D41" s="24"/>
      <c r="E41" s="35"/>
      <c r="F41" s="22"/>
      <c r="G41" s="22"/>
      <c r="H41" s="24"/>
      <c r="I41" s="9" t="s">
        <v>114</v>
      </c>
      <c r="J41" s="10">
        <v>6</v>
      </c>
      <c r="K41" s="14" t="s">
        <v>79</v>
      </c>
      <c r="L41" s="12">
        <v>8</v>
      </c>
      <c r="M41" s="12">
        <f>H40*J41*L41</f>
        <v>384</v>
      </c>
    </row>
  </sheetData>
  <mergeCells count="78">
    <mergeCell ref="F34:F35"/>
    <mergeCell ref="G34:G35"/>
    <mergeCell ref="H34:H35"/>
    <mergeCell ref="F30:F31"/>
    <mergeCell ref="G30:G31"/>
    <mergeCell ref="H30:H31"/>
    <mergeCell ref="F32:F33"/>
    <mergeCell ref="G32:G33"/>
    <mergeCell ref="H32:H33"/>
    <mergeCell ref="F26:F27"/>
    <mergeCell ref="G26:G27"/>
    <mergeCell ref="H26:H27"/>
    <mergeCell ref="F28:F29"/>
    <mergeCell ref="G28:G29"/>
    <mergeCell ref="H28:H29"/>
    <mergeCell ref="F22:F23"/>
    <mergeCell ref="G22:G23"/>
    <mergeCell ref="H22:H23"/>
    <mergeCell ref="F24:F25"/>
    <mergeCell ref="G24:G25"/>
    <mergeCell ref="H24:H25"/>
    <mergeCell ref="F18:F19"/>
    <mergeCell ref="G18:G19"/>
    <mergeCell ref="H18:H19"/>
    <mergeCell ref="F20:F21"/>
    <mergeCell ref="G20:G21"/>
    <mergeCell ref="H20:H21"/>
    <mergeCell ref="F12:F13"/>
    <mergeCell ref="G12:G13"/>
    <mergeCell ref="H12:H13"/>
    <mergeCell ref="D14:D17"/>
    <mergeCell ref="E14:E17"/>
    <mergeCell ref="F14:F15"/>
    <mergeCell ref="G14:G15"/>
    <mergeCell ref="H14:H15"/>
    <mergeCell ref="F16:F17"/>
    <mergeCell ref="G16:G17"/>
    <mergeCell ref="H16:H17"/>
    <mergeCell ref="F8:F9"/>
    <mergeCell ref="G8:G9"/>
    <mergeCell ref="H8:H9"/>
    <mergeCell ref="F10:F11"/>
    <mergeCell ref="G10:G11"/>
    <mergeCell ref="H10:H11"/>
    <mergeCell ref="F4:F5"/>
    <mergeCell ref="G4:G5"/>
    <mergeCell ref="H4:H5"/>
    <mergeCell ref="F6:F7"/>
    <mergeCell ref="G6:G7"/>
    <mergeCell ref="H6:H7"/>
    <mergeCell ref="D24:D29"/>
    <mergeCell ref="E24:E29"/>
    <mergeCell ref="D36:D41"/>
    <mergeCell ref="E36:E41"/>
    <mergeCell ref="C5:C7"/>
    <mergeCell ref="C9:C13"/>
    <mergeCell ref="D4:D7"/>
    <mergeCell ref="E4:E7"/>
    <mergeCell ref="D8:D13"/>
    <mergeCell ref="E8:E13"/>
    <mergeCell ref="D18:D23"/>
    <mergeCell ref="E18:E23"/>
    <mergeCell ref="D30:D35"/>
    <mergeCell ref="E30:E35"/>
    <mergeCell ref="C15:C17"/>
    <mergeCell ref="C19:C23"/>
    <mergeCell ref="C37:C41"/>
    <mergeCell ref="C25:C29"/>
    <mergeCell ref="C31:C35"/>
    <mergeCell ref="F40:F41"/>
    <mergeCell ref="G40:G41"/>
    <mergeCell ref="H40:H41"/>
    <mergeCell ref="F36:F37"/>
    <mergeCell ref="G36:G37"/>
    <mergeCell ref="H36:H37"/>
    <mergeCell ref="F38:F39"/>
    <mergeCell ref="G38:G39"/>
    <mergeCell ref="H38:H39"/>
  </mergeCells>
  <pageMargins left="0.70000000000000007" right="0.70000000000000007" top="0.75" bottom="0.75" header="0.30000000000000004" footer="0.30000000000000004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Grosu</dc:creator>
  <cp:lastModifiedBy>AKARCALI ARDA</cp:lastModifiedBy>
  <dcterms:created xsi:type="dcterms:W3CDTF">2023-11-20T18:33:04Z</dcterms:created>
  <dcterms:modified xsi:type="dcterms:W3CDTF">2023-11-24T21:12:41Z</dcterms:modified>
</cp:coreProperties>
</file>